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01_Raw_Data" sheetId="2" state="visible" r:id="rId4"/>
    <sheet name="02_Category" sheetId="3" state="visible" r:id="rId5"/>
    <sheet name="03_Vendor_Pareto" sheetId="4" state="visible" r:id="rId6"/>
    <sheet name="04_Replacement_Bridge" sheetId="5" state="visible" r:id="rId7"/>
  </sheets>
  <definedNames>
    <definedName function="false" hidden="false" localSheetId="1" name="_xlnm.Print_Titles" vbProcedure="false">01_Raw_Data!$1:$1</definedName>
    <definedName function="false" hidden="true" localSheetId="1" name="_xlnm._FilterDatabase" vbProcedure="false">01_Raw_Data!$A$1:$G$31</definedName>
    <definedName function="false" hidden="false" localSheetId="2" name="_xlnm.Print_Titles" vbProcedure="false">02_Category!$1:$3</definedName>
    <definedName function="false" hidden="false" localSheetId="3" name="_xlnm.Print_Titles" vbProcedure="false">03_Vendor_Pareto!$1:$3</definedName>
    <definedName function="false" hidden="false" localSheetId="0" name="_xlnm.Print_Titles" vbProcedure="false">Cover!$1:$1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<sst xmlns="http://schemas.openxmlformats.org/spreadsheetml/2006/main" count="241" uniqueCount="140">
  <si>
    <t xml:space="preserve">ALVIRTU BANK</t>
  </si>
  <si>
    <t xml:space="preserve">Spend Data Model  |  FY2023–FY2025</t>
  </si>
  <si>
    <t xml:space="preserve">Simulated educational dataset. Not live bank spend.</t>
  </si>
  <si>
    <t xml:space="preserve">Purpose</t>
  </si>
  <si>
    <t xml:space="preserve">Establish where money went, whether unit costs sit above market, and which category the Core Banking replacement must justify.</t>
  </si>
  <si>
    <t xml:space="preserve">Control panel</t>
  </si>
  <si>
    <t xml:space="preserve">Prepared</t>
  </si>
  <si>
    <t xml:space="preserve">1 February 2026</t>
  </si>
  <si>
    <t xml:space="preserve">Owner</t>
  </si>
  <si>
    <t xml:space="preserve">Raed Al-Alanazi — Strategic Procurement</t>
  </si>
  <si>
    <t xml:space="preserve">Currency</t>
  </si>
  <si>
    <t xml:space="preserve">USD</t>
  </si>
  <si>
    <t xml:space="preserve">Classification</t>
  </si>
  <si>
    <t xml:space="preserve">Fictional case study</t>
  </si>
  <si>
    <t xml:space="preserve">Source sheet</t>
  </si>
  <si>
    <t xml:space="preserve">01_Raw_Data (blue input cells)</t>
  </si>
  <si>
    <t xml:space="preserve">Engine</t>
  </si>
  <si>
    <t xml:space="preserve">SUMIFS / SUMPRODUCT — no hardcoded totals</t>
  </si>
  <si>
    <t xml:space="preserve">How to read</t>
  </si>
  <si>
    <t xml:space="preserve">1. 01_Raw_Data — 30 ledger lines, three fiscal years.</t>
  </si>
  <si>
    <t xml:space="preserve">2. 02_Category — category mix and Capex / Opex split.</t>
  </si>
  <si>
    <t xml:space="preserve">3. 03_Vendor — concentration and Pareto (80/20).</t>
  </si>
  <si>
    <t xml:space="preserve">4. 04_Bridge — why replacement beats running the incumbent.</t>
  </si>
  <si>
    <t xml:space="preserve">Year</t>
  </si>
  <si>
    <t xml:space="preserve">Category</t>
  </si>
  <si>
    <t xml:space="preserve">Vendor</t>
  </si>
  <si>
    <t xml:space="preserve">Item</t>
  </si>
  <si>
    <t xml:space="preserve">Amount_USD</t>
  </si>
  <si>
    <t xml:space="preserve">Type</t>
  </si>
  <si>
    <t xml:space="preserve">Status_Notes</t>
  </si>
  <si>
    <t xml:space="preserve">Core Systems</t>
  </si>
  <si>
    <t xml:space="preserve">Vendor A</t>
  </si>
  <si>
    <t xml:space="preserve">Core license</t>
  </si>
  <si>
    <t xml:space="preserve">Capex</t>
  </si>
  <si>
    <t xml:space="preserve">Incumbent contract — 22% maintenance</t>
  </si>
  <si>
    <t xml:space="preserve">Annual maintenance</t>
  </si>
  <si>
    <t xml:space="preserve">Opex</t>
  </si>
  <si>
    <t xml:space="preserve">Steps up ~5% a year</t>
  </si>
  <si>
    <t xml:space="preserve">Consulting</t>
  </si>
  <si>
    <t xml:space="preserve">Vendor B</t>
  </si>
  <si>
    <t xml:space="preserve">Islamic-module implementation</t>
  </si>
  <si>
    <t xml:space="preserve">Prior enhancement programme</t>
  </si>
  <si>
    <t xml:space="preserve">Infrastructure</t>
  </si>
  <si>
    <t xml:space="preserve">Local vendor</t>
  </si>
  <si>
    <t xml:space="preserve">Central servers and storage</t>
  </si>
  <si>
    <t xml:space="preserve">Partial refresh</t>
  </si>
  <si>
    <t xml:space="preserve">National Integration</t>
  </si>
  <si>
    <t xml:space="preserve">Vendor C</t>
  </si>
  <si>
    <t xml:space="preserve">SADAD / SARIE integration</t>
  </si>
  <si>
    <t xml:space="preserve">Ongoing support wrap</t>
  </si>
  <si>
    <t xml:space="preserve">Training / Support</t>
  </si>
  <si>
    <t xml:space="preserve">Vendor D</t>
  </si>
  <si>
    <t xml:space="preserve">Branch-staff training</t>
  </si>
  <si>
    <t xml:space="preserve">Covered 500 staff</t>
  </si>
  <si>
    <t xml:space="preserve">Cybersecurity</t>
  </si>
  <si>
    <t xml:space="preserve">Vendor E</t>
  </si>
  <si>
    <t xml:space="preserve">Protective tooling and pen-test</t>
  </si>
  <si>
    <t xml:space="preserve">Annual refresh</t>
  </si>
  <si>
    <t xml:space="preserve">Cloud</t>
  </si>
  <si>
    <t xml:space="preserve">Vendor F</t>
  </si>
  <si>
    <t xml:space="preserve">Temporary sandbox</t>
  </si>
  <si>
    <t xml:space="preserve">USD 37.5k per month</t>
  </si>
  <si>
    <t xml:space="preserve">Auxiliary Software</t>
  </si>
  <si>
    <t xml:space="preserve">Vendor G</t>
  </si>
  <si>
    <t xml:space="preserve">Document management system</t>
  </si>
  <si>
    <t xml:space="preserve">Perpetual licence</t>
  </si>
  <si>
    <t xml:space="preserve">Legal</t>
  </si>
  <si>
    <t xml:space="preserve">Vendor H</t>
  </si>
  <si>
    <t xml:space="preserve">Vendor-contract review</t>
  </si>
  <si>
    <t xml:space="preserve">External counsel</t>
  </si>
  <si>
    <t xml:space="preserve">~4% annual step-up</t>
  </si>
  <si>
    <t xml:space="preserve">Material rise versus prior year</t>
  </si>
  <si>
    <t xml:space="preserve">API / mobile-interface build</t>
  </si>
  <si>
    <t xml:space="preserve">Mobile-app connectivity</t>
  </si>
  <si>
    <t xml:space="preserve">Internal network upgrade</t>
  </si>
  <si>
    <t xml:space="preserve">Fibre refresh</t>
  </si>
  <si>
    <t xml:space="preserve">SWIFT / IPS integration</t>
  </si>
  <si>
    <t xml:space="preserve">Annual licence layer</t>
  </si>
  <si>
    <t xml:space="preserve">Advanced technical training</t>
  </si>
  <si>
    <t xml:space="preserve">Core engineers</t>
  </si>
  <si>
    <t xml:space="preserve">IDS / IPS upgrade</t>
  </si>
  <si>
    <t xml:space="preserve">Mandatory upgrade</t>
  </si>
  <si>
    <t xml:space="preserve">Dev / Test environments</t>
  </si>
  <si>
    <t xml:space="preserve">USD 30k above prior year</t>
  </si>
  <si>
    <t xml:space="preserve">CRM licence</t>
  </si>
  <si>
    <t xml:space="preserve">Partial integration</t>
  </si>
  <si>
    <t xml:space="preserve">SAMA compliance contract review</t>
  </si>
  <si>
    <t xml:space="preserve">Expected increase</t>
  </si>
  <si>
    <t xml:space="preserve">Full replacement now required</t>
  </si>
  <si>
    <t xml:space="preserve">~22% of licence — critical</t>
  </si>
  <si>
    <t xml:space="preserve">Transformation strategy advice</t>
  </si>
  <si>
    <t xml:space="preserve">Pre-CBS replacement</t>
  </si>
  <si>
    <t xml:space="preserve">Hybrid-cloud storage</t>
  </si>
  <si>
    <t xml:space="preserve">Prepare new environment</t>
  </si>
  <si>
    <t xml:space="preserve">SARIE interface refresh</t>
  </si>
  <si>
    <t xml:space="preserve">National mandate</t>
  </si>
  <si>
    <t xml:space="preserve">Knowledge-transfer programme</t>
  </si>
  <si>
    <t xml:space="preserve">Workforce readiness</t>
  </si>
  <si>
    <t xml:space="preserve">Third-party risk assessment</t>
  </si>
  <si>
    <t xml:space="preserve">SAMA-driven request</t>
  </si>
  <si>
    <t xml:space="preserve">Disaster-recovery environment</t>
  </si>
  <si>
    <t xml:space="preserve">Business continuity</t>
  </si>
  <si>
    <t xml:space="preserve">Business-intelligence platform</t>
  </si>
  <si>
    <t xml:space="preserve">Deferred until after CBS</t>
  </si>
  <si>
    <t xml:space="preserve">New RFP contract drafting</t>
  </si>
  <si>
    <t xml:space="preserve">Residency clauses</t>
  </si>
  <si>
    <t xml:space="preserve">Ledger total (formula)</t>
  </si>
  <si>
    <t xml:space="preserve">Blue font + yellow fill = inputs. Black font = formulas.</t>
  </si>
  <si>
    <t xml:space="preserve">Category mix  |  FY2023–FY2025</t>
  </si>
  <si>
    <t xml:space="preserve">Three-year total</t>
  </si>
  <si>
    <t xml:space="preserve">Share of spend</t>
  </si>
  <si>
    <t xml:space="preserve">Total</t>
  </si>
  <si>
    <t xml:space="preserve">Capex vs Opex</t>
  </si>
  <si>
    <t xml:space="preserve">Share</t>
  </si>
  <si>
    <t xml:space="preserve">Vendor concentration and Pareto</t>
  </si>
  <si>
    <t xml:space="preserve">Three-year spend</t>
  </si>
  <si>
    <t xml:space="preserve">Cumulative share</t>
  </si>
  <si>
    <t xml:space="preserve">Pareto band</t>
  </si>
  <si>
    <t xml:space="preserve">Concentration read</t>
  </si>
  <si>
    <t xml:space="preserve">Top vendor share</t>
  </si>
  <si>
    <t xml:space="preserve">Top two vendors</t>
  </si>
  <si>
    <t xml:space="preserve">Top three vendors</t>
  </si>
  <si>
    <t xml:space="preserve">Vendors in the vital-few band</t>
  </si>
  <si>
    <t xml:space="preserve">Why replacement is a cost decision, not only a technology decision</t>
  </si>
  <si>
    <t xml:space="preserve">Metric</t>
  </si>
  <si>
    <t xml:space="preserve">Incumbent FY2025</t>
  </si>
  <si>
    <t xml:space="preserve">Awarded 7-year book (Vendor B)</t>
  </si>
  <si>
    <t xml:space="preserve">Reading</t>
  </si>
  <si>
    <t xml:space="preserve">Core licence cash-out</t>
  </si>
  <si>
    <t xml:space="preserve">New book prices a full platform, not an annual top-up only</t>
  </si>
  <si>
    <t xml:space="preserve">Core maintenance</t>
  </si>
  <si>
    <t xml:space="preserve">22% of incumbent licence vs 17.5% contracted</t>
  </si>
  <si>
    <t xml:space="preserve">Maintenance rate</t>
  </si>
  <si>
    <t xml:space="preserve">4.5 percentage-point gap on the same cost type</t>
  </si>
  <si>
    <t xml:space="preserve">Cloud / sandbox opex</t>
  </si>
  <si>
    <t xml:space="preserve">Dev/Test included in the awarded contract at zero extra fee</t>
  </si>
  <si>
    <t xml:space="preserve">Annual run-rate of those three lines</t>
  </si>
  <si>
    <t xml:space="preserve">Licence on the new book is capitalised once; compare run-rate after go-live</t>
  </si>
  <si>
    <t xml:space="preserve">Decision use</t>
  </si>
  <si>
    <t xml:space="preserve">Core Systems is 63%+ of three-year IT-adjacent spend in this ledger. Vendor A alone is the vital-few supplier. Replacement is justified as category strategy: stop paying 22% maintenance plus a parallel sandbox, and put residency, SLA and exit into one instrument.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</si>
</sst>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_);_(\$* \(#,##0\);_(\$* \-??_);_(@_)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4A35A"/>
      <name val="Calibri"/>
      <family val="0"/>
      <charset val="1"/>
    </font>
    <font>
      <b val="true"/>
      <sz val="16"/>
      <color rgb="FF0B1F3A"/>
      <name val="Calibri"/>
      <family val="0"/>
      <charset val="1"/>
    </font>
    <font>
      <i val="true"/>
      <sz val="11"/>
      <color rgb="FF64748B"/>
      <name val="Calibri"/>
      <family val="0"/>
      <charset val="1"/>
    </font>
    <font>
      <b val="true"/>
      <sz val="13"/>
      <color rgb="FF0B1F3A"/>
      <name val="Calibri"/>
      <family val="0"/>
      <charset val="1"/>
    </font>
    <font>
      <b val="true"/>
      <sz val="11"/>
      <color rgb="FF334155"/>
      <name val="Calibri"/>
      <family val="0"/>
      <charset val="1"/>
    </font>
    <font>
      <sz val="11"/>
      <color rgb="FF33415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FF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sz val="1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F4F1EA"/>
        <bgColor rgb="FFE8EEF4"/>
      </patternFill>
    </fill>
    <fill>
      <patternFill patternType="solid">
        <fgColor rgb="FFFFF8DC"/>
        <bgColor rgb="FFF4F1EA"/>
      </patternFill>
    </fill>
    <fill>
      <patternFill patternType="solid">
        <fgColor rgb="FFE8EEF4"/>
        <bgColor rgb="FFF4F1EA"/>
      </patternFill>
    </fill>
    <fill>
      <patternFill patternType="solid">
        <fgColor rgb="FF1F6F5B"/>
        <bgColor rgb="FF4672A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3CD"/>
      </left>
      <right style="thin">
        <color rgb="FFD6D3CD"/>
      </right>
      <top style="thin">
        <color rgb="FFD6D3CD"/>
      </top>
      <bottom style="thin">
        <color rgb="FFD6D3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B1F3A"/>
          <bgColor rgb="FF000000"/>
        </patternFill>
      </fill>
    </dxf>
    <dxf>
      <fill>
        <patternFill patternType="solid">
          <fgColor rgb="FFF4F1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B"/>
      <rgbColor rgb="FFB8CD97"/>
      <rgbColor rgb="FF878787"/>
      <rgbColor rgb="FF93A9CE"/>
      <rgbColor rgb="FFAB4744"/>
      <rgbColor rgb="FFFFF8DC"/>
      <rgbColor rgb="FFE8EEF4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4F1EA"/>
      <rgbColor rgb="FFCCFFCC"/>
      <rgbColor rgb="FFFFFF99"/>
      <rgbColor rgb="FF99CCFF"/>
      <rgbColor rgb="FFD09493"/>
      <rgbColor rgb="FFCC99FF"/>
      <rgbColor rgb="FFD6D3CD"/>
      <rgbColor rgb="FF4672A8"/>
      <rgbColor rgb="FF33CCCC"/>
      <rgbColor rgb="FF9BBB59"/>
      <rgbColor rgb="FFFFCC00"/>
      <rgbColor rgb="FFC4A35A"/>
      <rgbColor rgb="FFFF6600"/>
      <rgbColor rgb="FF64748B"/>
      <rgbColor rgb="FF8AA64F"/>
      <rgbColor rgb="FF0B1F3A"/>
      <rgbColor rgb="FF4299B0"/>
      <rgbColor rgb="FF003300"/>
      <rgbColor rgb="FF333300"/>
      <rgbColor rgb="FF993300"/>
      <rgbColor rgb="FFC0504D"/>
      <rgbColor rgb="FF725990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Three-year spend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02_Category!E3</c:f>
              <c:strCache>
                <c:ptCount val="1"/>
                <c:pt idx="0">
                  <c:v>Three-year total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dLbl>
              <c:idx val="8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0"/>
              <c:showCatName val="0"/>
              <c:showSerName val="1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0"/>
            <c:showCatName val="0"/>
            <c:showSerName val="1"/>
            <c:showPercent val="1"/>
            <c:separator>
</c:separator>
            <c:showLeaderLines val="1"/>
          </c:dLbls>
          <c:cat>
            <c:strRef>
              <c:f>02_Category!$A$4:$A$12</c:f>
              <c:strCache>
                <c:ptCount val="9"/>
                <c:pt idx="0">
                  <c:v>Core Systems</c:v>
                </c:pt>
                <c:pt idx="1">
                  <c:v>Consulting</c:v>
                </c:pt>
                <c:pt idx="2">
                  <c:v>Infrastructure</c:v>
                </c:pt>
                <c:pt idx="3">
                  <c:v>National Integration</c:v>
                </c:pt>
                <c:pt idx="4">
                  <c:v>Cybersecurity</c:v>
                </c:pt>
                <c:pt idx="5">
                  <c:v>Cloud</c:v>
                </c:pt>
                <c:pt idx="6">
                  <c:v>Training / Support</c:v>
                </c:pt>
                <c:pt idx="7">
                  <c:v>Auxiliary Software</c:v>
                </c:pt>
                <c:pt idx="8">
                  <c:v>Legal</c:v>
                </c:pt>
              </c:strCache>
            </c:strRef>
          </c:cat>
          <c:val>
            <c:numRef>
              <c:f>02_Category!$E$4:$E$12</c:f>
              <c:numCache>
                <c:formatCode>_(\$* #,##0_);_(\$* \(#,##0\);_(\$* \-??_);_(@_)</c:formatCode>
                <c:ptCount val="9"/>
                <c:pt idx="0">
                  <c:v>45750000</c:v>
                </c:pt>
                <c:pt idx="1">
                  <c:v>12700000</c:v>
                </c:pt>
                <c:pt idx="2">
                  <c:v>5200000</c:v>
                </c:pt>
                <c:pt idx="3">
                  <c:v>2750000</c:v>
                </c:pt>
                <c:pt idx="4">
                  <c:v>1800000</c:v>
                </c:pt>
                <c:pt idx="5">
                  <c:v>1480000</c:v>
                </c:pt>
                <c:pt idx="6">
                  <c:v>1050000</c:v>
                </c:pt>
                <c:pt idx="7">
                  <c:v>850000</c:v>
                </c:pt>
                <c:pt idx="8">
                  <c:v>530000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spend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02_Category!B3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02_Category!$A$4:$A$12</c:f>
              <c:strCache>
                <c:ptCount val="9"/>
                <c:pt idx="0">
                  <c:v>Core Systems</c:v>
                </c:pt>
                <c:pt idx="1">
                  <c:v>Consulting</c:v>
                </c:pt>
                <c:pt idx="2">
                  <c:v>Infrastructure</c:v>
                </c:pt>
                <c:pt idx="3">
                  <c:v>National Integration</c:v>
                </c:pt>
                <c:pt idx="4">
                  <c:v>Cybersecurity</c:v>
                </c:pt>
                <c:pt idx="5">
                  <c:v>Cloud</c:v>
                </c:pt>
                <c:pt idx="6">
                  <c:v>Training / Support</c:v>
                </c:pt>
                <c:pt idx="7">
                  <c:v>Auxiliary Software</c:v>
                </c:pt>
                <c:pt idx="8">
                  <c:v>Legal</c:v>
                </c:pt>
              </c:strCache>
            </c:strRef>
          </c:cat>
          <c:val>
            <c:numRef>
              <c:f>02_Category!$B$4:$B$12</c:f>
              <c:numCache>
                <c:formatCode>_(\$* #,##0_);_(\$* \(#,##0\);_(\$* \-??_);_(@_)</c:formatCode>
                <c:ptCount val="9"/>
                <c:pt idx="0">
                  <c:v>14600000</c:v>
                </c:pt>
                <c:pt idx="1">
                  <c:v>4000000</c:v>
                </c:pt>
                <c:pt idx="2">
                  <c:v>1500000</c:v>
                </c:pt>
                <c:pt idx="3">
                  <c:v>800000</c:v>
                </c:pt>
                <c:pt idx="4">
                  <c:v>500000</c:v>
                </c:pt>
                <c:pt idx="5">
                  <c:v>450000</c:v>
                </c:pt>
                <c:pt idx="6">
                  <c:v>300000</c:v>
                </c:pt>
                <c:pt idx="7">
                  <c:v>250000</c:v>
                </c:pt>
                <c:pt idx="8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02_Category!C3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02_Category!$A$4:$A$12</c:f>
              <c:strCache>
                <c:ptCount val="9"/>
                <c:pt idx="0">
                  <c:v>Core Systems</c:v>
                </c:pt>
                <c:pt idx="1">
                  <c:v>Consulting</c:v>
                </c:pt>
                <c:pt idx="2">
                  <c:v>Infrastructure</c:v>
                </c:pt>
                <c:pt idx="3">
                  <c:v>National Integration</c:v>
                </c:pt>
                <c:pt idx="4">
                  <c:v>Cybersecurity</c:v>
                </c:pt>
                <c:pt idx="5">
                  <c:v>Cloud</c:v>
                </c:pt>
                <c:pt idx="6">
                  <c:v>Training / Support</c:v>
                </c:pt>
                <c:pt idx="7">
                  <c:v>Auxiliary Software</c:v>
                </c:pt>
                <c:pt idx="8">
                  <c:v>Legal</c:v>
                </c:pt>
              </c:strCache>
            </c:strRef>
          </c:cat>
          <c:val>
            <c:numRef>
              <c:f>02_Category!$C$4:$C$12</c:f>
              <c:numCache>
                <c:formatCode>_(\$* #,##0_);_(\$* \(#,##0\);_(\$* \-??_);_(@_)</c:formatCode>
                <c:ptCount val="9"/>
                <c:pt idx="0">
                  <c:v>15250000</c:v>
                </c:pt>
                <c:pt idx="1">
                  <c:v>4200000</c:v>
                </c:pt>
                <c:pt idx="2">
                  <c:v>1800000</c:v>
                </c:pt>
                <c:pt idx="3">
                  <c:v>950000</c:v>
                </c:pt>
                <c:pt idx="4">
                  <c:v>600000</c:v>
                </c:pt>
                <c:pt idx="5">
                  <c:v>480000</c:v>
                </c:pt>
                <c:pt idx="6">
                  <c:v>350000</c:v>
                </c:pt>
                <c:pt idx="7">
                  <c:v>280000</c:v>
                </c:pt>
                <c:pt idx="8">
                  <c:v>180000</c:v>
                </c:pt>
              </c:numCache>
            </c:numRef>
          </c:val>
        </c:ser>
        <c:ser>
          <c:idx val="2"/>
          <c:order val="2"/>
          <c:tx>
            <c:strRef>
              <c:f>02_Category!D3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02_Category!$A$4:$A$12</c:f>
              <c:strCache>
                <c:ptCount val="9"/>
                <c:pt idx="0">
                  <c:v>Core Systems</c:v>
                </c:pt>
                <c:pt idx="1">
                  <c:v>Consulting</c:v>
                </c:pt>
                <c:pt idx="2">
                  <c:v>Infrastructure</c:v>
                </c:pt>
                <c:pt idx="3">
                  <c:v>National Integration</c:v>
                </c:pt>
                <c:pt idx="4">
                  <c:v>Cybersecurity</c:v>
                </c:pt>
                <c:pt idx="5">
                  <c:v>Cloud</c:v>
                </c:pt>
                <c:pt idx="6">
                  <c:v>Training / Support</c:v>
                </c:pt>
                <c:pt idx="7">
                  <c:v>Auxiliary Software</c:v>
                </c:pt>
                <c:pt idx="8">
                  <c:v>Legal</c:v>
                </c:pt>
              </c:strCache>
            </c:strRef>
          </c:cat>
          <c:val>
            <c:numRef>
              <c:f>02_Category!$D$4:$D$12</c:f>
              <c:numCache>
                <c:formatCode>_(\$* #,##0_);_(\$* \(#,##0\);_(\$* \-??_);_(@_)</c:formatCode>
                <c:ptCount val="9"/>
                <c:pt idx="0">
                  <c:v>15900000</c:v>
                </c:pt>
                <c:pt idx="1">
                  <c:v>4500000</c:v>
                </c:pt>
                <c:pt idx="2">
                  <c:v>1900000</c:v>
                </c:pt>
                <c:pt idx="3">
                  <c:v>1000000</c:v>
                </c:pt>
                <c:pt idx="4">
                  <c:v>700000</c:v>
                </c:pt>
                <c:pt idx="5">
                  <c:v>550000</c:v>
                </c:pt>
                <c:pt idx="6">
                  <c:v>400000</c:v>
                </c:pt>
                <c:pt idx="7">
                  <c:v>320000</c:v>
                </c:pt>
                <c:pt idx="8">
                  <c:v>200000</c:v>
                </c:pt>
              </c:numCache>
            </c:numRef>
          </c:val>
        </c:ser>
        <c:gapWidth val="150"/>
        <c:overlap val="100"/>
        <c:axId val="11879715"/>
        <c:axId val="73096088"/>
      </c:barChart>
      <c:catAx>
        <c:axId val="1187971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096088"/>
        <c:crosses val="autoZero"/>
        <c:auto val="1"/>
        <c:lblAlgn val="ctr"/>
        <c:lblOffset val="100"/>
        <c:noMultiLvlLbl val="0"/>
      </c:catAx>
      <c:valAx>
        <c:axId val="730960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_(\$* #,##0_);_(\$* \(#,##0\);_(\$* \-??_);_(@_)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797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Three-year spend by vendor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03_Vendor_Pareto!B3</c:f>
              <c:strCache>
                <c:ptCount val="1"/>
                <c:pt idx="0">
                  <c:v>Three-year spend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03_Vendor_Pareto!$A$4:$A$12</c:f>
              <c:strCache>
                <c:ptCount val="9"/>
                <c:pt idx="0">
                  <c:v>Vendor A</c:v>
                </c:pt>
                <c:pt idx="1">
                  <c:v>Vendor B</c:v>
                </c:pt>
                <c:pt idx="2">
                  <c:v>Local vendor</c:v>
                </c:pt>
                <c:pt idx="3">
                  <c:v>Vendor C</c:v>
                </c:pt>
                <c:pt idx="4">
                  <c:v>Vendor E</c:v>
                </c:pt>
                <c:pt idx="5">
                  <c:v>Vendor F</c:v>
                </c:pt>
                <c:pt idx="6">
                  <c:v>Vendor D</c:v>
                </c:pt>
                <c:pt idx="7">
                  <c:v>Vendor G</c:v>
                </c:pt>
                <c:pt idx="8">
                  <c:v>Vendor H</c:v>
                </c:pt>
              </c:strCache>
            </c:strRef>
          </c:cat>
          <c:val>
            <c:numRef>
              <c:f>03_Vendor_Pareto!$B$4:$B$12</c:f>
              <c:numCache>
                <c:formatCode>_(\$* #,##0_);_(\$* \(#,##0\);_(\$* \-??_);_(@_)</c:formatCode>
                <c:ptCount val="9"/>
                <c:pt idx="0">
                  <c:v>45750000</c:v>
                </c:pt>
                <c:pt idx="1">
                  <c:v>12700000</c:v>
                </c:pt>
                <c:pt idx="2">
                  <c:v>5200000</c:v>
                </c:pt>
                <c:pt idx="3">
                  <c:v>2750000</c:v>
                </c:pt>
                <c:pt idx="4">
                  <c:v>1800000</c:v>
                </c:pt>
                <c:pt idx="5">
                  <c:v>1480000</c:v>
                </c:pt>
                <c:pt idx="6">
                  <c:v>1050000</c:v>
                </c:pt>
                <c:pt idx="7">
                  <c:v>850000</c:v>
                </c:pt>
                <c:pt idx="8">
                  <c:v>530000</c:v>
                </c:pt>
              </c:numCache>
            </c:numRef>
          </c:val>
        </c:ser>
        <c:gapWidth val="150"/>
        <c:overlap val="0"/>
        <c:axId val="6540746"/>
        <c:axId val="65168080"/>
      </c:barChart>
      <c:catAx>
        <c:axId val="65407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68080"/>
        <c:crosses val="autoZero"/>
        <c:auto val="1"/>
        <c:lblAlgn val="ctr"/>
        <c:lblOffset val="100"/>
        <c:noMultiLvlLbl val="0"/>
      </c:catAx>
      <c:valAx>
        <c:axId val="651680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_(\$* #,##0_);_(\$* \(#,##0\);_(\$* \-??_);_(@_)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07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</xdr:row>
      <xdr:rowOff>130680</xdr:rowOff>
    </xdr:from>
    <xdr:to>
      <xdr:col>15</xdr:col>
      <xdr:colOff>147240</xdr:colOff>
      <xdr:row>16</xdr:row>
      <xdr:rowOff>137880</xdr:rowOff>
    </xdr:to>
    <xdr:graphicFrame>
      <xdr:nvGraphicFramePr>
        <xdr:cNvPr id="0" name="Chart 1"/>
        <xdr:cNvGraphicFramePr/>
      </xdr:nvGraphicFramePr>
      <xdr:xfrm>
        <a:off x="8223840" y="378360"/>
        <a:ext cx="5039280" cy="287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17</xdr:row>
      <xdr:rowOff>116280</xdr:rowOff>
    </xdr:from>
    <xdr:to>
      <xdr:col>16</xdr:col>
      <xdr:colOff>255600</xdr:colOff>
      <xdr:row>32</xdr:row>
      <xdr:rowOff>137880</xdr:rowOff>
    </xdr:to>
    <xdr:graphicFrame>
      <xdr:nvGraphicFramePr>
        <xdr:cNvPr id="1" name="Chart 2"/>
        <xdr:cNvGraphicFramePr/>
      </xdr:nvGraphicFramePr>
      <xdr:xfrm>
        <a:off x="8223840" y="3421440"/>
        <a:ext cx="5759280" cy="287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130680</xdr:rowOff>
    </xdr:from>
    <xdr:to>
      <xdr:col>15</xdr:col>
      <xdr:colOff>255960</xdr:colOff>
      <xdr:row>18</xdr:row>
      <xdr:rowOff>117000</xdr:rowOff>
    </xdr:to>
    <xdr:graphicFrame>
      <xdr:nvGraphicFramePr>
        <xdr:cNvPr id="2" name="Chart 1"/>
        <xdr:cNvGraphicFramePr/>
      </xdr:nvGraphicFramePr>
      <xdr:xfrm>
        <a:off x="7894440" y="378360"/>
        <a:ext cx="5759280" cy="323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48"/>
    <col collapsed="false" customWidth="true" hidden="false" outlineLevel="0" max="6" min="4" style="1" width="18"/>
  </cols>
  <sheetData>
    <row r="2" customFormat="false" ht="15" hidden="false" customHeight="true" outlineLevel="0" collapsed="false">
      <c r="B2" s="2" t="s">
        <v>0</v>
      </c>
    </row>
    <row r="3" customFormat="false" ht="24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7" customFormat="false" ht="15.75" hidden="false" customHeight="true" outlineLevel="0" collapsed="false">
      <c r="B7" s="5" t="s">
        <v>3</v>
      </c>
    </row>
    <row r="8" customFormat="false" ht="36" hidden="false" customHeight="true" outlineLevel="0" collapsed="false">
      <c r="B8" s="6" t="s">
        <v>4</v>
      </c>
      <c r="C8" s="6"/>
      <c r="D8" s="6"/>
      <c r="E8" s="6"/>
      <c r="F8" s="6"/>
    </row>
    <row r="9" customFormat="false" ht="15" hidden="false" customHeight="true" outlineLevel="0" collapsed="false">
      <c r="B9" s="6"/>
      <c r="C9" s="6"/>
      <c r="D9" s="6"/>
      <c r="E9" s="6"/>
      <c r="F9" s="6"/>
    </row>
    <row r="10" customFormat="false" ht="15" hidden="false" customHeight="true" outlineLevel="0" collapsed="false">
      <c r="B10" s="6"/>
      <c r="C10" s="6"/>
      <c r="D10" s="6"/>
      <c r="E10" s="6"/>
      <c r="F10" s="6"/>
    </row>
    <row r="12" customFormat="false" ht="15.75" hidden="false" customHeight="true" outlineLevel="0" collapsed="false">
      <c r="B12" s="5" t="s">
        <v>5</v>
      </c>
    </row>
    <row r="13" customFormat="false" ht="15" hidden="false" customHeight="true" outlineLevel="0" collapsed="false">
      <c r="B13" s="7" t="s">
        <v>6</v>
      </c>
      <c r="C13" s="8" t="s">
        <v>7</v>
      </c>
    </row>
    <row r="14" customFormat="false" ht="15" hidden="false" customHeight="true" outlineLevel="0" collapsed="false">
      <c r="B14" s="7" t="s">
        <v>8</v>
      </c>
      <c r="C14" s="8" t="s">
        <v>9</v>
      </c>
    </row>
    <row r="15" customFormat="false" ht="15" hidden="false" customHeight="true" outlineLevel="0" collapsed="false">
      <c r="B15" s="7" t="s">
        <v>10</v>
      </c>
      <c r="C15" s="8" t="s">
        <v>11</v>
      </c>
    </row>
    <row r="16" customFormat="false" ht="15" hidden="false" customHeight="true" outlineLevel="0" collapsed="false">
      <c r="B16" s="7" t="s">
        <v>12</v>
      </c>
      <c r="C16" s="8" t="s">
        <v>13</v>
      </c>
    </row>
    <row r="17" customFormat="false" ht="15" hidden="false" customHeight="true" outlineLevel="0" collapsed="false">
      <c r="B17" s="7" t="s">
        <v>14</v>
      </c>
      <c r="C17" s="8" t="s">
        <v>15</v>
      </c>
    </row>
    <row r="18" customFormat="false" ht="15" hidden="false" customHeight="true" outlineLevel="0" collapsed="false">
      <c r="B18" s="7" t="s">
        <v>16</v>
      </c>
      <c r="C18" s="8" t="s">
        <v>17</v>
      </c>
    </row>
    <row r="21" customFormat="false" ht="15.75" hidden="false" customHeight="true" outlineLevel="0" collapsed="false">
      <c r="B21" s="5" t="s">
        <v>18</v>
      </c>
    </row>
    <row r="22" customFormat="false" ht="15" hidden="false" customHeight="true" outlineLevel="0" collapsed="false">
      <c r="B22" s="1" t="s">
        <v>19</v>
      </c>
    </row>
    <row r="23" customFormat="false" ht="15" hidden="false" customHeight="true" outlineLevel="0" collapsed="false">
      <c r="B23" s="1" t="s">
        <v>20</v>
      </c>
    </row>
    <row r="24" customFormat="false" ht="15" hidden="false" customHeight="true" outlineLevel="0" collapsed="false">
      <c r="B24" s="1" t="s">
        <v>21</v>
      </c>
    </row>
    <row r="25" customFormat="false" ht="15" hidden="false" customHeight="true" outlineLevel="0" collapsed="false">
      <c r="B25" s="1" t="s">
        <v>22</v>
      </c>
    </row>
  </sheetData>
  <mergeCells count="1">
    <mergeCell ref="B8:F10"/>
  </mergeCell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&amp;LAlVirtu Bank  |  Simulated</oddHeader>
    <oddFooter>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36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36"/>
  </cols>
  <sheetData>
    <row r="1" customFormat="false" ht="21.75" hidden="false" customHeight="true" outlineLevel="0" collapsed="false">
      <c r="A1" s="9" t="s">
        <v>23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</row>
    <row r="2" customFormat="false" ht="15" hidden="false" customHeight="true" outlineLevel="0" collapsed="false">
      <c r="A2" s="10" t="n">
        <v>2023</v>
      </c>
      <c r="B2" s="11" t="s">
        <v>30</v>
      </c>
      <c r="C2" s="11" t="s">
        <v>31</v>
      </c>
      <c r="D2" s="11" t="s">
        <v>32</v>
      </c>
      <c r="E2" s="12" t="n">
        <v>12000000</v>
      </c>
      <c r="F2" s="10" t="s">
        <v>33</v>
      </c>
      <c r="G2" s="11" t="s">
        <v>34</v>
      </c>
    </row>
    <row r="3" customFormat="false" ht="15" hidden="false" customHeight="true" outlineLevel="0" collapsed="false">
      <c r="A3" s="13" t="n">
        <v>2023</v>
      </c>
      <c r="B3" s="14" t="s">
        <v>30</v>
      </c>
      <c r="C3" s="14" t="s">
        <v>31</v>
      </c>
      <c r="D3" s="14" t="s">
        <v>35</v>
      </c>
      <c r="E3" s="12" t="n">
        <v>2600000</v>
      </c>
      <c r="F3" s="13" t="s">
        <v>36</v>
      </c>
      <c r="G3" s="14" t="s">
        <v>37</v>
      </c>
    </row>
    <row r="4" customFormat="false" ht="15" hidden="false" customHeight="true" outlineLevel="0" collapsed="false">
      <c r="A4" s="10" t="n">
        <v>2023</v>
      </c>
      <c r="B4" s="11" t="s">
        <v>38</v>
      </c>
      <c r="C4" s="11" t="s">
        <v>39</v>
      </c>
      <c r="D4" s="11" t="s">
        <v>40</v>
      </c>
      <c r="E4" s="12" t="n">
        <v>4000000</v>
      </c>
      <c r="F4" s="10" t="s">
        <v>33</v>
      </c>
      <c r="G4" s="11" t="s">
        <v>41</v>
      </c>
    </row>
    <row r="5" customFormat="false" ht="15" hidden="false" customHeight="true" outlineLevel="0" collapsed="false">
      <c r="A5" s="13" t="n">
        <v>2023</v>
      </c>
      <c r="B5" s="14" t="s">
        <v>42</v>
      </c>
      <c r="C5" s="14" t="s">
        <v>43</v>
      </c>
      <c r="D5" s="14" t="s">
        <v>44</v>
      </c>
      <c r="E5" s="12" t="n">
        <v>1500000</v>
      </c>
      <c r="F5" s="13" t="s">
        <v>33</v>
      </c>
      <c r="G5" s="14" t="s">
        <v>45</v>
      </c>
    </row>
    <row r="6" customFormat="false" ht="15" hidden="false" customHeight="true" outlineLevel="0" collapsed="false">
      <c r="A6" s="10" t="n">
        <v>2023</v>
      </c>
      <c r="B6" s="11" t="s">
        <v>46</v>
      </c>
      <c r="C6" s="11" t="s">
        <v>47</v>
      </c>
      <c r="D6" s="11" t="s">
        <v>48</v>
      </c>
      <c r="E6" s="12" t="n">
        <v>800000</v>
      </c>
      <c r="F6" s="10" t="s">
        <v>33</v>
      </c>
      <c r="G6" s="11" t="s">
        <v>49</v>
      </c>
    </row>
    <row r="7" customFormat="false" ht="15" hidden="false" customHeight="true" outlineLevel="0" collapsed="false">
      <c r="A7" s="13" t="n">
        <v>2023</v>
      </c>
      <c r="B7" s="14" t="s">
        <v>50</v>
      </c>
      <c r="C7" s="14" t="s">
        <v>51</v>
      </c>
      <c r="D7" s="14" t="s">
        <v>52</v>
      </c>
      <c r="E7" s="12" t="n">
        <v>300000</v>
      </c>
      <c r="F7" s="13" t="s">
        <v>36</v>
      </c>
      <c r="G7" s="14" t="s">
        <v>53</v>
      </c>
    </row>
    <row r="8" customFormat="false" ht="15" hidden="false" customHeight="true" outlineLevel="0" collapsed="false">
      <c r="A8" s="10" t="n">
        <v>2023</v>
      </c>
      <c r="B8" s="11" t="s">
        <v>54</v>
      </c>
      <c r="C8" s="11" t="s">
        <v>55</v>
      </c>
      <c r="D8" s="11" t="s">
        <v>56</v>
      </c>
      <c r="E8" s="12" t="n">
        <v>500000</v>
      </c>
      <c r="F8" s="10" t="s">
        <v>33</v>
      </c>
      <c r="G8" s="11" t="s">
        <v>57</v>
      </c>
    </row>
    <row r="9" customFormat="false" ht="15" hidden="false" customHeight="true" outlineLevel="0" collapsed="false">
      <c r="A9" s="13" t="n">
        <v>2023</v>
      </c>
      <c r="B9" s="14" t="s">
        <v>58</v>
      </c>
      <c r="C9" s="14" t="s">
        <v>59</v>
      </c>
      <c r="D9" s="14" t="s">
        <v>60</v>
      </c>
      <c r="E9" s="12" t="n">
        <v>450000</v>
      </c>
      <c r="F9" s="13" t="s">
        <v>36</v>
      </c>
      <c r="G9" s="14" t="s">
        <v>61</v>
      </c>
    </row>
    <row r="10" customFormat="false" ht="15" hidden="false" customHeight="true" outlineLevel="0" collapsed="false">
      <c r="A10" s="10" t="n">
        <v>2023</v>
      </c>
      <c r="B10" s="11" t="s">
        <v>62</v>
      </c>
      <c r="C10" s="11" t="s">
        <v>63</v>
      </c>
      <c r="D10" s="11" t="s">
        <v>64</v>
      </c>
      <c r="E10" s="12" t="n">
        <v>250000</v>
      </c>
      <c r="F10" s="10" t="s">
        <v>33</v>
      </c>
      <c r="G10" s="11" t="s">
        <v>65</v>
      </c>
    </row>
    <row r="11" customFormat="false" ht="15" hidden="false" customHeight="true" outlineLevel="0" collapsed="false">
      <c r="A11" s="13" t="n">
        <v>2023</v>
      </c>
      <c r="B11" s="14" t="s">
        <v>66</v>
      </c>
      <c r="C11" s="14" t="s">
        <v>67</v>
      </c>
      <c r="D11" s="14" t="s">
        <v>68</v>
      </c>
      <c r="E11" s="12" t="n">
        <v>150000</v>
      </c>
      <c r="F11" s="13" t="s">
        <v>36</v>
      </c>
      <c r="G11" s="14" t="s">
        <v>69</v>
      </c>
    </row>
    <row r="12" customFormat="false" ht="15" hidden="false" customHeight="true" outlineLevel="0" collapsed="false">
      <c r="A12" s="10" t="n">
        <v>2024</v>
      </c>
      <c r="B12" s="11" t="s">
        <v>30</v>
      </c>
      <c r="C12" s="11" t="s">
        <v>31</v>
      </c>
      <c r="D12" s="11" t="s">
        <v>32</v>
      </c>
      <c r="E12" s="12" t="n">
        <v>12500000</v>
      </c>
      <c r="F12" s="10" t="s">
        <v>33</v>
      </c>
      <c r="G12" s="11" t="s">
        <v>70</v>
      </c>
    </row>
    <row r="13" customFormat="false" ht="15" hidden="false" customHeight="true" outlineLevel="0" collapsed="false">
      <c r="A13" s="13" t="n">
        <v>2024</v>
      </c>
      <c r="B13" s="14" t="s">
        <v>30</v>
      </c>
      <c r="C13" s="14" t="s">
        <v>31</v>
      </c>
      <c r="D13" s="14" t="s">
        <v>35</v>
      </c>
      <c r="E13" s="12" t="n">
        <v>2750000</v>
      </c>
      <c r="F13" s="13" t="s">
        <v>36</v>
      </c>
      <c r="G13" s="14" t="s">
        <v>71</v>
      </c>
    </row>
    <row r="14" customFormat="false" ht="15" hidden="false" customHeight="true" outlineLevel="0" collapsed="false">
      <c r="A14" s="10" t="n">
        <v>2024</v>
      </c>
      <c r="B14" s="11" t="s">
        <v>38</v>
      </c>
      <c r="C14" s="11" t="s">
        <v>39</v>
      </c>
      <c r="D14" s="11" t="s">
        <v>72</v>
      </c>
      <c r="E14" s="12" t="n">
        <v>4200000</v>
      </c>
      <c r="F14" s="10" t="s">
        <v>33</v>
      </c>
      <c r="G14" s="11" t="s">
        <v>73</v>
      </c>
    </row>
    <row r="15" customFormat="false" ht="15" hidden="false" customHeight="true" outlineLevel="0" collapsed="false">
      <c r="A15" s="13" t="n">
        <v>2024</v>
      </c>
      <c r="B15" s="14" t="s">
        <v>42</v>
      </c>
      <c r="C15" s="14" t="s">
        <v>43</v>
      </c>
      <c r="D15" s="14" t="s">
        <v>74</v>
      </c>
      <c r="E15" s="12" t="n">
        <v>1800000</v>
      </c>
      <c r="F15" s="13" t="s">
        <v>33</v>
      </c>
      <c r="G15" s="14" t="s">
        <v>75</v>
      </c>
    </row>
    <row r="16" customFormat="false" ht="15" hidden="false" customHeight="true" outlineLevel="0" collapsed="false">
      <c r="A16" s="10" t="n">
        <v>2024</v>
      </c>
      <c r="B16" s="11" t="s">
        <v>46</v>
      </c>
      <c r="C16" s="11" t="s">
        <v>47</v>
      </c>
      <c r="D16" s="11" t="s">
        <v>76</v>
      </c>
      <c r="E16" s="12" t="n">
        <v>950000</v>
      </c>
      <c r="F16" s="10" t="s">
        <v>33</v>
      </c>
      <c r="G16" s="11" t="s">
        <v>77</v>
      </c>
    </row>
    <row r="17" customFormat="false" ht="15" hidden="false" customHeight="true" outlineLevel="0" collapsed="false">
      <c r="A17" s="13" t="n">
        <v>2024</v>
      </c>
      <c r="B17" s="14" t="s">
        <v>50</v>
      </c>
      <c r="C17" s="14" t="s">
        <v>51</v>
      </c>
      <c r="D17" s="14" t="s">
        <v>78</v>
      </c>
      <c r="E17" s="12" t="n">
        <v>350000</v>
      </c>
      <c r="F17" s="13" t="s">
        <v>36</v>
      </c>
      <c r="G17" s="14" t="s">
        <v>79</v>
      </c>
    </row>
    <row r="18" customFormat="false" ht="15" hidden="false" customHeight="true" outlineLevel="0" collapsed="false">
      <c r="A18" s="10" t="n">
        <v>2024</v>
      </c>
      <c r="B18" s="11" t="s">
        <v>54</v>
      </c>
      <c r="C18" s="11" t="s">
        <v>55</v>
      </c>
      <c r="D18" s="11" t="s">
        <v>80</v>
      </c>
      <c r="E18" s="12" t="n">
        <v>600000</v>
      </c>
      <c r="F18" s="10" t="s">
        <v>33</v>
      </c>
      <c r="G18" s="11" t="s">
        <v>81</v>
      </c>
    </row>
    <row r="19" customFormat="false" ht="15" hidden="false" customHeight="true" outlineLevel="0" collapsed="false">
      <c r="A19" s="13" t="n">
        <v>2024</v>
      </c>
      <c r="B19" s="14" t="s">
        <v>58</v>
      </c>
      <c r="C19" s="14" t="s">
        <v>59</v>
      </c>
      <c r="D19" s="14" t="s">
        <v>82</v>
      </c>
      <c r="E19" s="12" t="n">
        <v>480000</v>
      </c>
      <c r="F19" s="13" t="s">
        <v>36</v>
      </c>
      <c r="G19" s="14" t="s">
        <v>83</v>
      </c>
    </row>
    <row r="20" customFormat="false" ht="15" hidden="false" customHeight="true" outlineLevel="0" collapsed="false">
      <c r="A20" s="10" t="n">
        <v>2024</v>
      </c>
      <c r="B20" s="11" t="s">
        <v>62</v>
      </c>
      <c r="C20" s="11" t="s">
        <v>63</v>
      </c>
      <c r="D20" s="11" t="s">
        <v>84</v>
      </c>
      <c r="E20" s="12" t="n">
        <v>280000</v>
      </c>
      <c r="F20" s="10" t="s">
        <v>33</v>
      </c>
      <c r="G20" s="11" t="s">
        <v>85</v>
      </c>
    </row>
    <row r="21" customFormat="false" ht="15" hidden="false" customHeight="true" outlineLevel="0" collapsed="false">
      <c r="A21" s="13" t="n">
        <v>2024</v>
      </c>
      <c r="B21" s="14" t="s">
        <v>66</v>
      </c>
      <c r="C21" s="14" t="s">
        <v>67</v>
      </c>
      <c r="D21" s="14" t="s">
        <v>86</v>
      </c>
      <c r="E21" s="12" t="n">
        <v>180000</v>
      </c>
      <c r="F21" s="13" t="s">
        <v>36</v>
      </c>
      <c r="G21" s="14" t="s">
        <v>87</v>
      </c>
    </row>
    <row r="22" customFormat="false" ht="15" hidden="false" customHeight="true" outlineLevel="0" collapsed="false">
      <c r="A22" s="10" t="n">
        <v>2025</v>
      </c>
      <c r="B22" s="11" t="s">
        <v>30</v>
      </c>
      <c r="C22" s="11" t="s">
        <v>31</v>
      </c>
      <c r="D22" s="11" t="s">
        <v>32</v>
      </c>
      <c r="E22" s="12" t="n">
        <v>13000000</v>
      </c>
      <c r="F22" s="10" t="s">
        <v>33</v>
      </c>
      <c r="G22" s="11" t="s">
        <v>88</v>
      </c>
    </row>
    <row r="23" customFormat="false" ht="15" hidden="false" customHeight="true" outlineLevel="0" collapsed="false">
      <c r="A23" s="13" t="n">
        <v>2025</v>
      </c>
      <c r="B23" s="14" t="s">
        <v>30</v>
      </c>
      <c r="C23" s="14" t="s">
        <v>31</v>
      </c>
      <c r="D23" s="14" t="s">
        <v>35</v>
      </c>
      <c r="E23" s="12" t="n">
        <v>2900000</v>
      </c>
      <c r="F23" s="13" t="s">
        <v>36</v>
      </c>
      <c r="G23" s="14" t="s">
        <v>89</v>
      </c>
    </row>
    <row r="24" customFormat="false" ht="15" hidden="false" customHeight="true" outlineLevel="0" collapsed="false">
      <c r="A24" s="10" t="n">
        <v>2025</v>
      </c>
      <c r="B24" s="11" t="s">
        <v>38</v>
      </c>
      <c r="C24" s="11" t="s">
        <v>39</v>
      </c>
      <c r="D24" s="11" t="s">
        <v>90</v>
      </c>
      <c r="E24" s="12" t="n">
        <v>4500000</v>
      </c>
      <c r="F24" s="10" t="s">
        <v>33</v>
      </c>
      <c r="G24" s="11" t="s">
        <v>91</v>
      </c>
    </row>
    <row r="25" customFormat="false" ht="15" hidden="false" customHeight="true" outlineLevel="0" collapsed="false">
      <c r="A25" s="13" t="n">
        <v>2025</v>
      </c>
      <c r="B25" s="14" t="s">
        <v>42</v>
      </c>
      <c r="C25" s="14" t="s">
        <v>43</v>
      </c>
      <c r="D25" s="14" t="s">
        <v>92</v>
      </c>
      <c r="E25" s="12" t="n">
        <v>1900000</v>
      </c>
      <c r="F25" s="13" t="s">
        <v>33</v>
      </c>
      <c r="G25" s="14" t="s">
        <v>93</v>
      </c>
    </row>
    <row r="26" customFormat="false" ht="15" hidden="false" customHeight="true" outlineLevel="0" collapsed="false">
      <c r="A26" s="10" t="n">
        <v>2025</v>
      </c>
      <c r="B26" s="11" t="s">
        <v>46</v>
      </c>
      <c r="C26" s="11" t="s">
        <v>47</v>
      </c>
      <c r="D26" s="11" t="s">
        <v>94</v>
      </c>
      <c r="E26" s="12" t="n">
        <v>1000000</v>
      </c>
      <c r="F26" s="10" t="s">
        <v>33</v>
      </c>
      <c r="G26" s="11" t="s">
        <v>95</v>
      </c>
    </row>
    <row r="27" customFormat="false" ht="15" hidden="false" customHeight="true" outlineLevel="0" collapsed="false">
      <c r="A27" s="13" t="n">
        <v>2025</v>
      </c>
      <c r="B27" s="14" t="s">
        <v>50</v>
      </c>
      <c r="C27" s="14" t="s">
        <v>51</v>
      </c>
      <c r="D27" s="14" t="s">
        <v>96</v>
      </c>
      <c r="E27" s="12" t="n">
        <v>400000</v>
      </c>
      <c r="F27" s="13" t="s">
        <v>36</v>
      </c>
      <c r="G27" s="14" t="s">
        <v>97</v>
      </c>
    </row>
    <row r="28" customFormat="false" ht="15" hidden="false" customHeight="true" outlineLevel="0" collapsed="false">
      <c r="A28" s="10" t="n">
        <v>2025</v>
      </c>
      <c r="B28" s="11" t="s">
        <v>54</v>
      </c>
      <c r="C28" s="11" t="s">
        <v>55</v>
      </c>
      <c r="D28" s="11" t="s">
        <v>98</v>
      </c>
      <c r="E28" s="12" t="n">
        <v>700000</v>
      </c>
      <c r="F28" s="10" t="s">
        <v>33</v>
      </c>
      <c r="G28" s="11" t="s">
        <v>99</v>
      </c>
    </row>
    <row r="29" customFormat="false" ht="15" hidden="false" customHeight="true" outlineLevel="0" collapsed="false">
      <c r="A29" s="13" t="n">
        <v>2025</v>
      </c>
      <c r="B29" s="14" t="s">
        <v>58</v>
      </c>
      <c r="C29" s="14" t="s">
        <v>59</v>
      </c>
      <c r="D29" s="14" t="s">
        <v>100</v>
      </c>
      <c r="E29" s="12" t="n">
        <v>550000</v>
      </c>
      <c r="F29" s="13" t="s">
        <v>36</v>
      </c>
      <c r="G29" s="14" t="s">
        <v>101</v>
      </c>
    </row>
    <row r="30" customFormat="false" ht="15" hidden="false" customHeight="true" outlineLevel="0" collapsed="false">
      <c r="A30" s="10" t="n">
        <v>2025</v>
      </c>
      <c r="B30" s="11" t="s">
        <v>62</v>
      </c>
      <c r="C30" s="11" t="s">
        <v>63</v>
      </c>
      <c r="D30" s="11" t="s">
        <v>102</v>
      </c>
      <c r="E30" s="12" t="n">
        <v>320000</v>
      </c>
      <c r="F30" s="10" t="s">
        <v>33</v>
      </c>
      <c r="G30" s="11" t="s">
        <v>103</v>
      </c>
    </row>
    <row r="31" customFormat="false" ht="15" hidden="false" customHeight="true" outlineLevel="0" collapsed="false">
      <c r="A31" s="13" t="n">
        <v>2025</v>
      </c>
      <c r="B31" s="14" t="s">
        <v>66</v>
      </c>
      <c r="C31" s="14" t="s">
        <v>67</v>
      </c>
      <c r="D31" s="14" t="s">
        <v>104</v>
      </c>
      <c r="E31" s="12" t="n">
        <v>200000</v>
      </c>
      <c r="F31" s="13" t="s">
        <v>36</v>
      </c>
      <c r="G31" s="14" t="s">
        <v>105</v>
      </c>
    </row>
    <row r="32" customFormat="false" ht="15" hidden="false" customHeight="true" outlineLevel="0" collapsed="false">
      <c r="D32" s="15" t="s">
        <v>106</v>
      </c>
      <c r="E32" s="16" t="n">
        <f aca="false">SUM(E2:E31)</f>
        <v>72110000</v>
      </c>
    </row>
    <row r="34" customFormat="false" ht="15" hidden="false" customHeight="true" outlineLevel="0" collapsed="false">
      <c r="A34" s="17" t="s">
        <v>107</v>
      </c>
    </row>
  </sheetData>
  <autoFilter ref="A1:G31"/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6"/>
    <col collapsed="false" customWidth="true" hidden="false" outlineLevel="0" max="5" min="5" style="1" width="18"/>
    <col collapsed="false" customWidth="true" hidden="false" outlineLevel="0" max="6" min="6" style="1" width="16"/>
  </cols>
  <sheetData>
    <row r="1" customFormat="false" ht="19.5" hidden="false" customHeight="true" outlineLevel="0" collapsed="false">
      <c r="A1" s="18" t="s">
        <v>108</v>
      </c>
      <c r="B1" s="18"/>
      <c r="C1" s="18"/>
      <c r="D1" s="18"/>
      <c r="E1" s="18"/>
      <c r="F1" s="18"/>
    </row>
    <row r="3" customFormat="false" ht="15" hidden="false" customHeight="true" outlineLevel="0" collapsed="false">
      <c r="A3" s="9" t="s">
        <v>24</v>
      </c>
      <c r="B3" s="9" t="n">
        <v>2023</v>
      </c>
      <c r="C3" s="9" t="n">
        <v>2024</v>
      </c>
      <c r="D3" s="9" t="n">
        <v>2025</v>
      </c>
      <c r="E3" s="9" t="s">
        <v>109</v>
      </c>
      <c r="F3" s="9" t="s">
        <v>110</v>
      </c>
    </row>
    <row r="4" customFormat="false" ht="15" hidden="false" customHeight="true" outlineLevel="0" collapsed="false">
      <c r="A4" s="19" t="s">
        <v>30</v>
      </c>
      <c r="B4" s="20" t="n">
        <f aca="false">SUMIFS(01_Raw_Data!$E$2:$E$31,01_Raw_Data!$A$2:$A$31,B$3,01_Raw_Data!$B$2:$B$31,$A4)</f>
        <v>14600000</v>
      </c>
      <c r="C4" s="20" t="n">
        <f aca="false">SUMIFS(01_Raw_Data!$E$2:$E$31,01_Raw_Data!$A$2:$A$31,C$3,01_Raw_Data!$B$2:$B$31,$A4)</f>
        <v>15250000</v>
      </c>
      <c r="D4" s="20" t="n">
        <f aca="false">SUMIFS(01_Raw_Data!$E$2:$E$31,01_Raw_Data!$A$2:$A$31,D$3,01_Raw_Data!$B$2:$B$31,$A4)</f>
        <v>15900000</v>
      </c>
      <c r="E4" s="21" t="n">
        <f aca="false">SUM(B4:D4)</f>
        <v>45750000</v>
      </c>
      <c r="F4" s="22" t="n">
        <f aca="false">IF($E$13=0,0,E4/$E$13)</f>
        <v>0.634447372070448</v>
      </c>
    </row>
    <row r="5" customFormat="false" ht="15" hidden="false" customHeight="true" outlineLevel="0" collapsed="false">
      <c r="A5" s="23" t="s">
        <v>38</v>
      </c>
      <c r="B5" s="24" t="n">
        <f aca="false">SUMIFS(01_Raw_Data!$E$2:$E$31,01_Raw_Data!$A$2:$A$31,B$3,01_Raw_Data!$B$2:$B$31,$A5)</f>
        <v>4000000</v>
      </c>
      <c r="C5" s="24" t="n">
        <f aca="false">SUMIFS(01_Raw_Data!$E$2:$E$31,01_Raw_Data!$A$2:$A$31,C$3,01_Raw_Data!$B$2:$B$31,$A5)</f>
        <v>4200000</v>
      </c>
      <c r="D5" s="24" t="n">
        <f aca="false">SUMIFS(01_Raw_Data!$E$2:$E$31,01_Raw_Data!$A$2:$A$31,D$3,01_Raw_Data!$B$2:$B$31,$A5)</f>
        <v>4500000</v>
      </c>
      <c r="E5" s="25" t="n">
        <f aca="false">SUM(B5:D5)</f>
        <v>12700000</v>
      </c>
      <c r="F5" s="26" t="n">
        <f aca="false">IF($E$13=0,0,E5/$E$13)</f>
        <v>0.176119816946332</v>
      </c>
    </row>
    <row r="6" customFormat="false" ht="15" hidden="false" customHeight="true" outlineLevel="0" collapsed="false">
      <c r="A6" s="19" t="s">
        <v>42</v>
      </c>
      <c r="B6" s="20" t="n">
        <f aca="false">SUMIFS(01_Raw_Data!$E$2:$E$31,01_Raw_Data!$A$2:$A$31,B$3,01_Raw_Data!$B$2:$B$31,$A6)</f>
        <v>1500000</v>
      </c>
      <c r="C6" s="20" t="n">
        <f aca="false">SUMIFS(01_Raw_Data!$E$2:$E$31,01_Raw_Data!$A$2:$A$31,C$3,01_Raw_Data!$B$2:$B$31,$A6)</f>
        <v>1800000</v>
      </c>
      <c r="D6" s="20" t="n">
        <f aca="false">SUMIFS(01_Raw_Data!$E$2:$E$31,01_Raw_Data!$A$2:$A$31,D$3,01_Raw_Data!$B$2:$B$31,$A6)</f>
        <v>1900000</v>
      </c>
      <c r="E6" s="21" t="n">
        <f aca="false">SUM(B6:D6)</f>
        <v>5200000</v>
      </c>
      <c r="F6" s="22" t="n">
        <f aca="false">IF($E$13=0,0,E6/$E$13)</f>
        <v>0.0721120510331438</v>
      </c>
    </row>
    <row r="7" customFormat="false" ht="15" hidden="false" customHeight="true" outlineLevel="0" collapsed="false">
      <c r="A7" s="23" t="s">
        <v>46</v>
      </c>
      <c r="B7" s="24" t="n">
        <f aca="false">SUMIFS(01_Raw_Data!$E$2:$E$31,01_Raw_Data!$A$2:$A$31,B$3,01_Raw_Data!$B$2:$B$31,$A7)</f>
        <v>800000</v>
      </c>
      <c r="C7" s="24" t="n">
        <f aca="false">SUMIFS(01_Raw_Data!$E$2:$E$31,01_Raw_Data!$A$2:$A$31,C$3,01_Raw_Data!$B$2:$B$31,$A7)</f>
        <v>950000</v>
      </c>
      <c r="D7" s="24" t="n">
        <f aca="false">SUMIFS(01_Raw_Data!$E$2:$E$31,01_Raw_Data!$A$2:$A$31,D$3,01_Raw_Data!$B$2:$B$31,$A7)</f>
        <v>1000000</v>
      </c>
      <c r="E7" s="25" t="n">
        <f aca="false">SUM(B7:D7)</f>
        <v>2750000</v>
      </c>
      <c r="F7" s="26" t="n">
        <f aca="false">IF($E$13=0,0,E7/$E$13)</f>
        <v>0.0381361808348357</v>
      </c>
    </row>
    <row r="8" customFormat="false" ht="15" hidden="false" customHeight="true" outlineLevel="0" collapsed="false">
      <c r="A8" s="19" t="s">
        <v>54</v>
      </c>
      <c r="B8" s="20" t="n">
        <f aca="false">SUMIFS(01_Raw_Data!$E$2:$E$31,01_Raw_Data!$A$2:$A$31,B$3,01_Raw_Data!$B$2:$B$31,$A8)</f>
        <v>500000</v>
      </c>
      <c r="C8" s="20" t="n">
        <f aca="false">SUMIFS(01_Raw_Data!$E$2:$E$31,01_Raw_Data!$A$2:$A$31,C$3,01_Raw_Data!$B$2:$B$31,$A8)</f>
        <v>600000</v>
      </c>
      <c r="D8" s="20" t="n">
        <f aca="false">SUMIFS(01_Raw_Data!$E$2:$E$31,01_Raw_Data!$A$2:$A$31,D$3,01_Raw_Data!$B$2:$B$31,$A8)</f>
        <v>700000</v>
      </c>
      <c r="E8" s="21" t="n">
        <f aca="false">SUM(B8:D8)</f>
        <v>1800000</v>
      </c>
      <c r="F8" s="22" t="n">
        <f aca="false">IF($E$13=0,0,E8/$E$13)</f>
        <v>0.0249618638191652</v>
      </c>
    </row>
    <row r="9" customFormat="false" ht="15" hidden="false" customHeight="true" outlineLevel="0" collapsed="false">
      <c r="A9" s="23" t="s">
        <v>58</v>
      </c>
      <c r="B9" s="24" t="n">
        <f aca="false">SUMIFS(01_Raw_Data!$E$2:$E$31,01_Raw_Data!$A$2:$A$31,B$3,01_Raw_Data!$B$2:$B$31,$A9)</f>
        <v>450000</v>
      </c>
      <c r="C9" s="24" t="n">
        <f aca="false">SUMIFS(01_Raw_Data!$E$2:$E$31,01_Raw_Data!$A$2:$A$31,C$3,01_Raw_Data!$B$2:$B$31,$A9)</f>
        <v>480000</v>
      </c>
      <c r="D9" s="24" t="n">
        <f aca="false">SUMIFS(01_Raw_Data!$E$2:$E$31,01_Raw_Data!$A$2:$A$31,D$3,01_Raw_Data!$B$2:$B$31,$A9)</f>
        <v>550000</v>
      </c>
      <c r="E9" s="25" t="n">
        <f aca="false">SUM(B9:D9)</f>
        <v>1480000</v>
      </c>
      <c r="F9" s="26" t="n">
        <f aca="false">IF($E$13=0,0,E9/$E$13)</f>
        <v>0.0205241991402025</v>
      </c>
    </row>
    <row r="10" customFormat="false" ht="15" hidden="false" customHeight="true" outlineLevel="0" collapsed="false">
      <c r="A10" s="19" t="s">
        <v>50</v>
      </c>
      <c r="B10" s="20" t="n">
        <f aca="false">SUMIFS(01_Raw_Data!$E$2:$E$31,01_Raw_Data!$A$2:$A$31,B$3,01_Raw_Data!$B$2:$B$31,$A10)</f>
        <v>300000</v>
      </c>
      <c r="C10" s="20" t="n">
        <f aca="false">SUMIFS(01_Raw_Data!$E$2:$E$31,01_Raw_Data!$A$2:$A$31,C$3,01_Raw_Data!$B$2:$B$31,$A10)</f>
        <v>350000</v>
      </c>
      <c r="D10" s="20" t="n">
        <f aca="false">SUMIFS(01_Raw_Data!$E$2:$E$31,01_Raw_Data!$A$2:$A$31,D$3,01_Raw_Data!$B$2:$B$31,$A10)</f>
        <v>400000</v>
      </c>
      <c r="E10" s="21" t="n">
        <f aca="false">SUM(B10:D10)</f>
        <v>1050000</v>
      </c>
      <c r="F10" s="22" t="n">
        <f aca="false">IF($E$13=0,0,E10/$E$13)</f>
        <v>0.0145610872278463</v>
      </c>
    </row>
    <row r="11" customFormat="false" ht="15" hidden="false" customHeight="true" outlineLevel="0" collapsed="false">
      <c r="A11" s="23" t="s">
        <v>62</v>
      </c>
      <c r="B11" s="24" t="n">
        <f aca="false">SUMIFS(01_Raw_Data!$E$2:$E$31,01_Raw_Data!$A$2:$A$31,B$3,01_Raw_Data!$B$2:$B$31,$A11)</f>
        <v>250000</v>
      </c>
      <c r="C11" s="24" t="n">
        <f aca="false">SUMIFS(01_Raw_Data!$E$2:$E$31,01_Raw_Data!$A$2:$A$31,C$3,01_Raw_Data!$B$2:$B$31,$A11)</f>
        <v>280000</v>
      </c>
      <c r="D11" s="24" t="n">
        <f aca="false">SUMIFS(01_Raw_Data!$E$2:$E$31,01_Raw_Data!$A$2:$A$31,D$3,01_Raw_Data!$B$2:$B$31,$A11)</f>
        <v>320000</v>
      </c>
      <c r="E11" s="25" t="n">
        <f aca="false">SUM(B11:D11)</f>
        <v>850000</v>
      </c>
      <c r="F11" s="26" t="n">
        <f aca="false">IF($E$13=0,0,E11/$E$13)</f>
        <v>0.0117875468034947</v>
      </c>
    </row>
    <row r="12" customFormat="false" ht="15" hidden="false" customHeight="true" outlineLevel="0" collapsed="false">
      <c r="A12" s="19" t="s">
        <v>66</v>
      </c>
      <c r="B12" s="20" t="n">
        <f aca="false">SUMIFS(01_Raw_Data!$E$2:$E$31,01_Raw_Data!$A$2:$A$31,B$3,01_Raw_Data!$B$2:$B$31,$A12)</f>
        <v>150000</v>
      </c>
      <c r="C12" s="20" t="n">
        <f aca="false">SUMIFS(01_Raw_Data!$E$2:$E$31,01_Raw_Data!$A$2:$A$31,C$3,01_Raw_Data!$B$2:$B$31,$A12)</f>
        <v>180000</v>
      </c>
      <c r="D12" s="20" t="n">
        <f aca="false">SUMIFS(01_Raw_Data!$E$2:$E$31,01_Raw_Data!$A$2:$A$31,D$3,01_Raw_Data!$B$2:$B$31,$A12)</f>
        <v>200000</v>
      </c>
      <c r="E12" s="21" t="n">
        <f aca="false">SUM(B12:D12)</f>
        <v>530000</v>
      </c>
      <c r="F12" s="22" t="n">
        <f aca="false">IF($E$13=0,0,E12/$E$13)</f>
        <v>0.00734988212453197</v>
      </c>
    </row>
    <row r="13" customFormat="false" ht="15" hidden="false" customHeight="true" outlineLevel="0" collapsed="false">
      <c r="A13" s="27" t="s">
        <v>111</v>
      </c>
      <c r="B13" s="28" t="n">
        <f aca="false">SUM(B4:B12)</f>
        <v>22550000</v>
      </c>
      <c r="C13" s="28" t="n">
        <f aca="false">SUM(C4:C12)</f>
        <v>24090000</v>
      </c>
      <c r="D13" s="28" t="n">
        <f aca="false">SUM(D4:D12)</f>
        <v>25470000</v>
      </c>
      <c r="E13" s="28" t="n">
        <f aca="false">SUM(E4:E12)</f>
        <v>72110000</v>
      </c>
      <c r="F13" s="29" t="n">
        <f aca="false">SUM(F4:F12)</f>
        <v>1</v>
      </c>
    </row>
    <row r="15" customFormat="false" ht="15.75" hidden="false" customHeight="true" outlineLevel="0" collapsed="false">
      <c r="A15" s="5" t="s">
        <v>112</v>
      </c>
    </row>
    <row r="16" customFormat="false" ht="15" hidden="false" customHeight="true" outlineLevel="0" collapsed="false">
      <c r="A16" s="30" t="s">
        <v>28</v>
      </c>
      <c r="B16" s="30" t="s">
        <v>27</v>
      </c>
      <c r="C16" s="30" t="s">
        <v>113</v>
      </c>
    </row>
    <row r="17" customFormat="false" ht="15" hidden="false" customHeight="true" outlineLevel="0" collapsed="false">
      <c r="A17" s="31" t="s">
        <v>33</v>
      </c>
      <c r="B17" s="32" t="n">
        <f aca="false">SUMIF(01_Raw_Data!$F$2:$F$31,"Capex",01_Raw_Data!$E$2:$E$31)</f>
        <v>60800000</v>
      </c>
      <c r="C17" s="33" t="n">
        <f aca="false">IF(B19=0,0,B17/B19)</f>
        <v>0.843156289002912</v>
      </c>
    </row>
    <row r="18" customFormat="false" ht="15" hidden="false" customHeight="true" outlineLevel="0" collapsed="false">
      <c r="A18" s="31" t="s">
        <v>36</v>
      </c>
      <c r="B18" s="32" t="n">
        <f aca="false">SUMIF(01_Raw_Data!$F$2:$F$31,"Opex",01_Raw_Data!$E$2:$E$31)</f>
        <v>11310000</v>
      </c>
      <c r="C18" s="33" t="n">
        <f aca="false">IF(B19=0,0,B18/B19)</f>
        <v>0.156843710997088</v>
      </c>
    </row>
    <row r="19" customFormat="false" ht="15" hidden="false" customHeight="true" outlineLevel="0" collapsed="false">
      <c r="A19" s="34" t="s">
        <v>111</v>
      </c>
      <c r="B19" s="35" t="n">
        <f aca="false">B17+B18</f>
        <v>72110000</v>
      </c>
      <c r="C19" s="36" t="n">
        <f aca="false">C17+C18</f>
        <v>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&amp;RPage &amp;P of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4" min="4" style="1" width="18"/>
    <col collapsed="false" customWidth="true" hidden="false" outlineLevel="0" max="5" min="5" style="1" width="20"/>
    <col collapsed="false" customWidth="true" hidden="false" outlineLevel="0" max="6" min="6" style="1" width="14"/>
  </cols>
  <sheetData>
    <row r="1" customFormat="false" ht="19.5" hidden="false" customHeight="true" outlineLevel="0" collapsed="false">
      <c r="A1" s="3" t="s">
        <v>114</v>
      </c>
    </row>
    <row r="3" customFormat="false" ht="15" hidden="false" customHeight="true" outlineLevel="0" collapsed="false">
      <c r="A3" s="9" t="s">
        <v>25</v>
      </c>
      <c r="B3" s="9" t="s">
        <v>115</v>
      </c>
      <c r="C3" s="9" t="s">
        <v>113</v>
      </c>
      <c r="D3" s="9" t="s">
        <v>116</v>
      </c>
      <c r="E3" s="9" t="s">
        <v>117</v>
      </c>
    </row>
    <row r="4" customFormat="false" ht="15" hidden="false" customHeight="true" outlineLevel="0" collapsed="false">
      <c r="A4" s="37" t="s">
        <v>31</v>
      </c>
      <c r="B4" s="38" t="n">
        <f aca="false">SUMIF(01_Raw_Data!$C$2:$C$31,$A4,01_Raw_Data!$E$2:$E$31)</f>
        <v>45750000</v>
      </c>
      <c r="C4" s="39" t="n">
        <f aca="false">IF($B$13=0,0,B4/$B$13)</f>
        <v>0.634447372070448</v>
      </c>
      <c r="D4" s="39" t="n">
        <f aca="false">C4</f>
        <v>0.634447372070448</v>
      </c>
      <c r="E4" s="40" t="str">
        <f aca="false">IF(D4-C4&lt;0.8,"Vital few (≈80%)","Long tail")</f>
        <v>Vital few (≈80%)</v>
      </c>
    </row>
    <row r="5" customFormat="false" ht="15" hidden="false" customHeight="true" outlineLevel="0" collapsed="false">
      <c r="A5" s="37" t="s">
        <v>39</v>
      </c>
      <c r="B5" s="38" t="n">
        <f aca="false">SUMIF(01_Raw_Data!$C$2:$C$31,$A5,01_Raw_Data!$E$2:$E$31)</f>
        <v>12700000</v>
      </c>
      <c r="C5" s="39" t="n">
        <f aca="false">IF($B$13=0,0,B5/$B$13)</f>
        <v>0.176119816946332</v>
      </c>
      <c r="D5" s="39" t="n">
        <f aca="false">D4+C5</f>
        <v>0.81056718901678</v>
      </c>
      <c r="E5" s="40" t="str">
        <f aca="false">IF(D5-C5&lt;0.8,"Vital few (≈80%)","Long tail")</f>
        <v>Vital few (≈80%)</v>
      </c>
    </row>
    <row r="6" customFormat="false" ht="15" hidden="false" customHeight="true" outlineLevel="0" collapsed="false">
      <c r="A6" s="37" t="s">
        <v>43</v>
      </c>
      <c r="B6" s="38" t="n">
        <f aca="false">SUMIF(01_Raw_Data!$C$2:$C$31,$A6,01_Raw_Data!$E$2:$E$31)</f>
        <v>5200000</v>
      </c>
      <c r="C6" s="39" t="n">
        <f aca="false">IF($B$13=0,0,B6/$B$13)</f>
        <v>0.0721120510331438</v>
      </c>
      <c r="D6" s="39" t="n">
        <f aca="false">D5+C6</f>
        <v>0.882679240049924</v>
      </c>
      <c r="E6" s="40" t="str">
        <f aca="false">IF(D6-C6&lt;0.8,"Vital few (≈80%)","Long tail")</f>
        <v>Long tail</v>
      </c>
    </row>
    <row r="7" customFormat="false" ht="15" hidden="false" customHeight="true" outlineLevel="0" collapsed="false">
      <c r="A7" s="37" t="s">
        <v>47</v>
      </c>
      <c r="B7" s="38" t="n">
        <f aca="false">SUMIF(01_Raw_Data!$C$2:$C$31,$A7,01_Raw_Data!$E$2:$E$31)</f>
        <v>2750000</v>
      </c>
      <c r="C7" s="39" t="n">
        <f aca="false">IF($B$13=0,0,B7/$B$13)</f>
        <v>0.0381361808348357</v>
      </c>
      <c r="D7" s="39" t="n">
        <f aca="false">D6+C7</f>
        <v>0.920815420884759</v>
      </c>
      <c r="E7" s="40" t="str">
        <f aca="false">IF(D7-C7&lt;0.8,"Vital few (≈80%)","Long tail")</f>
        <v>Long tail</v>
      </c>
    </row>
    <row r="8" customFormat="false" ht="15" hidden="false" customHeight="true" outlineLevel="0" collapsed="false">
      <c r="A8" s="37" t="s">
        <v>55</v>
      </c>
      <c r="B8" s="38" t="n">
        <f aca="false">SUMIF(01_Raw_Data!$C$2:$C$31,$A8,01_Raw_Data!$E$2:$E$31)</f>
        <v>1800000</v>
      </c>
      <c r="C8" s="39" t="n">
        <f aca="false">IF($B$13=0,0,B8/$B$13)</f>
        <v>0.0249618638191652</v>
      </c>
      <c r="D8" s="39" t="n">
        <f aca="false">D7+C8</f>
        <v>0.945777284703924</v>
      </c>
      <c r="E8" s="40" t="str">
        <f aca="false">IF(D8-C8&lt;0.8,"Vital few (≈80%)","Long tail")</f>
        <v>Long tail</v>
      </c>
    </row>
    <row r="9" customFormat="false" ht="15" hidden="false" customHeight="true" outlineLevel="0" collapsed="false">
      <c r="A9" s="37" t="s">
        <v>59</v>
      </c>
      <c r="B9" s="38" t="n">
        <f aca="false">SUMIF(01_Raw_Data!$C$2:$C$31,$A9,01_Raw_Data!$E$2:$E$31)</f>
        <v>1480000</v>
      </c>
      <c r="C9" s="39" t="n">
        <f aca="false">IF($B$13=0,0,B9/$B$13)</f>
        <v>0.0205241991402025</v>
      </c>
      <c r="D9" s="39" t="n">
        <f aca="false">D8+C9</f>
        <v>0.966301483844127</v>
      </c>
      <c r="E9" s="40" t="str">
        <f aca="false">IF(D9-C9&lt;0.8,"Vital few (≈80%)","Long tail")</f>
        <v>Long tail</v>
      </c>
    </row>
    <row r="10" customFormat="false" ht="15" hidden="false" customHeight="true" outlineLevel="0" collapsed="false">
      <c r="A10" s="37" t="s">
        <v>51</v>
      </c>
      <c r="B10" s="38" t="n">
        <f aca="false">SUMIF(01_Raw_Data!$C$2:$C$31,$A10,01_Raw_Data!$E$2:$E$31)</f>
        <v>1050000</v>
      </c>
      <c r="C10" s="39" t="n">
        <f aca="false">IF($B$13=0,0,B10/$B$13)</f>
        <v>0.0145610872278463</v>
      </c>
      <c r="D10" s="39" t="n">
        <f aca="false">D9+C10</f>
        <v>0.980862571071973</v>
      </c>
      <c r="E10" s="40" t="str">
        <f aca="false">IF(D10-C10&lt;0.8,"Vital few (≈80%)","Long tail")</f>
        <v>Long tail</v>
      </c>
    </row>
    <row r="11" customFormat="false" ht="15" hidden="false" customHeight="true" outlineLevel="0" collapsed="false">
      <c r="A11" s="37" t="s">
        <v>63</v>
      </c>
      <c r="B11" s="38" t="n">
        <f aca="false">SUMIF(01_Raw_Data!$C$2:$C$31,$A11,01_Raw_Data!$E$2:$E$31)</f>
        <v>850000</v>
      </c>
      <c r="C11" s="39" t="n">
        <f aca="false">IF($B$13=0,0,B11/$B$13)</f>
        <v>0.0117875468034947</v>
      </c>
      <c r="D11" s="39" t="n">
        <f aca="false">D10+C11</f>
        <v>0.992650117875468</v>
      </c>
      <c r="E11" s="40" t="str">
        <f aca="false">IF(D11-C11&lt;0.8,"Vital few (≈80%)","Long tail")</f>
        <v>Long tail</v>
      </c>
    </row>
    <row r="12" customFormat="false" ht="15" hidden="false" customHeight="true" outlineLevel="0" collapsed="false">
      <c r="A12" s="37" t="s">
        <v>67</v>
      </c>
      <c r="B12" s="38" t="n">
        <f aca="false">SUMIF(01_Raw_Data!$C$2:$C$31,$A12,01_Raw_Data!$E$2:$E$31)</f>
        <v>530000</v>
      </c>
      <c r="C12" s="39" t="n">
        <f aca="false">IF($B$13=0,0,B12/$B$13)</f>
        <v>0.00734988212453197</v>
      </c>
      <c r="D12" s="39" t="n">
        <f aca="false">D11+C12</f>
        <v>1</v>
      </c>
      <c r="E12" s="40" t="str">
        <f aca="false">IF(D12-C12&lt;0.8,"Vital few (≈80%)","Long tail")</f>
        <v>Long tail</v>
      </c>
    </row>
    <row r="13" customFormat="false" ht="15" hidden="false" customHeight="true" outlineLevel="0" collapsed="false">
      <c r="A13" s="27" t="s">
        <v>111</v>
      </c>
      <c r="B13" s="28" t="n">
        <f aca="false">SUM(B4:B12)</f>
        <v>72110000</v>
      </c>
      <c r="C13" s="29" t="n">
        <f aca="false">SUM(C4:C12)</f>
        <v>1</v>
      </c>
      <c r="D13" s="27"/>
      <c r="E13" s="27"/>
    </row>
    <row r="15" customFormat="false" ht="15.75" hidden="false" customHeight="true" outlineLevel="0" collapsed="false">
      <c r="A15" s="5" t="s">
        <v>118</v>
      </c>
    </row>
    <row r="16" customFormat="false" ht="15" hidden="false" customHeight="true" outlineLevel="0" collapsed="false">
      <c r="A16" s="1" t="s">
        <v>119</v>
      </c>
      <c r="B16" s="41" t="n">
        <f aca="false">C4</f>
        <v>0.634447372070448</v>
      </c>
    </row>
    <row r="17" customFormat="false" ht="15" hidden="false" customHeight="true" outlineLevel="0" collapsed="false">
      <c r="A17" s="1" t="s">
        <v>120</v>
      </c>
      <c r="B17" s="41" t="n">
        <f aca="false">C4+C5</f>
        <v>0.81056718901678</v>
      </c>
    </row>
    <row r="18" customFormat="false" ht="15" hidden="false" customHeight="true" outlineLevel="0" collapsed="false">
      <c r="A18" s="1" t="s">
        <v>121</v>
      </c>
      <c r="B18" s="41" t="n">
        <f aca="false">C4+C5+C6</f>
        <v>0.882679240049924</v>
      </c>
    </row>
    <row r="19" customFormat="false" ht="15" hidden="false" customHeight="true" outlineLevel="0" collapsed="false">
      <c r="A19" s="1" t="s">
        <v>122</v>
      </c>
      <c r="B19" s="1" t="n">
        <f aca="false">COUNTIF(E4:E12,"Vital few (≈80%)")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&amp;RPage &amp;P of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56"/>
    <col collapsed="false" customWidth="true" hidden="false" outlineLevel="0" max="5" min="5" style="1" width="16"/>
  </cols>
  <sheetData>
    <row r="1" customFormat="false" ht="19.5" hidden="false" customHeight="true" outlineLevel="0" collapsed="false">
      <c r="A1" s="18" t="s">
        <v>123</v>
      </c>
      <c r="B1" s="18"/>
      <c r="C1" s="18"/>
      <c r="D1" s="18"/>
      <c r="E1" s="18"/>
    </row>
    <row r="3" customFormat="false" ht="27.75" hidden="false" customHeight="true" outlineLevel="0" collapsed="false">
      <c r="A3" s="9" t="s">
        <v>124</v>
      </c>
      <c r="B3" s="9" t="s">
        <v>125</v>
      </c>
      <c r="C3" s="9" t="s">
        <v>126</v>
      </c>
      <c r="D3" s="9" t="s">
        <v>127</v>
      </c>
    </row>
    <row r="4" customFormat="false" ht="15" hidden="false" customHeight="true" outlineLevel="0" collapsed="false">
      <c r="A4" s="42" t="s">
        <v>128</v>
      </c>
      <c r="B4" s="43" t="n">
        <f aca="false">SUMIFS(01_Raw_Data!$E$2:$E$31,01_Raw_Data!$A$2:$A$31,2025,01_Raw_Data!$D$2:$D$31,"Core license")</f>
        <v>13000000</v>
      </c>
      <c r="C4" s="12" t="n">
        <v>14000000</v>
      </c>
      <c r="D4" s="42" t="s">
        <v>129</v>
      </c>
    </row>
    <row r="5" customFormat="false" ht="15" hidden="false" customHeight="true" outlineLevel="0" collapsed="false">
      <c r="A5" s="42" t="s">
        <v>130</v>
      </c>
      <c r="B5" s="43" t="n">
        <f aca="false">SUMIFS(01_Raw_Data!$E$2:$E$31,01_Raw_Data!$A$2:$A$31,2025,01_Raw_Data!$D$2:$D$31,"Annual maintenance")</f>
        <v>2900000</v>
      </c>
      <c r="C5" s="43" t="n">
        <f aca="false">C4*0.175</f>
        <v>2450000</v>
      </c>
      <c r="D5" s="42" t="s">
        <v>131</v>
      </c>
    </row>
    <row r="6" customFormat="false" ht="15" hidden="false" customHeight="true" outlineLevel="0" collapsed="false">
      <c r="A6" s="42" t="s">
        <v>132</v>
      </c>
      <c r="B6" s="44" t="n">
        <f aca="false">IF(B4=0,0,B5/B4)</f>
        <v>0.223076923076923</v>
      </c>
      <c r="C6" s="45" t="n">
        <v>0.175</v>
      </c>
      <c r="D6" s="42" t="s">
        <v>133</v>
      </c>
    </row>
    <row r="7" customFormat="false" ht="15" hidden="false" customHeight="true" outlineLevel="0" collapsed="false">
      <c r="A7" s="42" t="s">
        <v>134</v>
      </c>
      <c r="B7" s="43" t="n">
        <f aca="false">SUMIFS(01_Raw_Data!$E$2:$E$31,01_Raw_Data!$A$2:$A$31,2025,01_Raw_Data!$B$2:$B$31,"Cloud")</f>
        <v>550000</v>
      </c>
      <c r="C7" s="43" t="n">
        <v>0</v>
      </c>
      <c r="D7" s="42" t="s">
        <v>135</v>
      </c>
    </row>
    <row r="8" customFormat="false" ht="27.75" hidden="false" customHeight="true" outlineLevel="0" collapsed="false">
      <c r="A8" s="42" t="s">
        <v>136</v>
      </c>
      <c r="B8" s="43" t="n">
        <f aca="false">B4+B5+B7</f>
        <v>16450000</v>
      </c>
      <c r="C8" s="43" t="n">
        <f aca="false">C5+C7</f>
        <v>2450000</v>
      </c>
      <c r="D8" s="42" t="s">
        <v>137</v>
      </c>
    </row>
    <row r="10" customFormat="false" ht="15.75" hidden="false" customHeight="true" outlineLevel="0" collapsed="false">
      <c r="A10" s="5" t="s">
        <v>138</v>
      </c>
    </row>
    <row r="11" customFormat="false" ht="15" hidden="false" customHeight="true" outlineLevel="0" collapsed="false">
      <c r="A11" s="6" t="s">
        <v>139</v>
      </c>
      <c r="B11" s="6"/>
      <c r="C11" s="6"/>
      <c r="D11" s="6"/>
      <c r="E11" s="6"/>
    </row>
    <row r="12" customFormat="false" ht="15" hidden="false" customHeight="true" outlineLevel="0" collapsed="false">
      <c r="A12" s="6"/>
      <c r="B12" s="6"/>
      <c r="C12" s="6"/>
      <c r="D12" s="6"/>
      <c r="E12" s="6"/>
    </row>
    <row r="13" customFormat="false" ht="15" hidden="false" customHeight="true" outlineLevel="0" collapsed="false">
      <c r="A13" s="6"/>
      <c r="B13" s="6"/>
      <c r="C13" s="6"/>
      <c r="D13" s="6"/>
      <c r="E13" s="6"/>
    </row>
    <row r="14" customFormat="false" ht="15" hidden="false" customHeight="true" outlineLevel="0" collapsed="false">
      <c r="A14" s="6"/>
      <c r="B14" s="6"/>
      <c r="C14" s="6"/>
      <c r="D14" s="6"/>
      <c r="E14" s="6"/>
    </row>
  </sheetData>
  <mergeCells count="2">
    <mergeCell ref="A1:E1"/>
    <mergeCell ref="A11:E14"/>
  </mergeCells>
  <printOptions headings="false" gridLines="false" gridLinesSet="true" horizontalCentered="fals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2026-09-04T12:29:57Z</dcterms:created>
  <dc:creator>openpyxl</dc:creator>
  <dc:description/>
  <dc:language>en-US</dc:language>
  <cp:lastModifiedBy/>
  <dcterms:modified xsi:type="dcterms:W3CDTF">2026-09-04T12:30:30Z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